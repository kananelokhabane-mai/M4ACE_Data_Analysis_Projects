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14\Desktop\M4ACE\"/>
    </mc:Choice>
  </mc:AlternateContent>
  <xr:revisionPtr revIDLastSave="0" documentId="13_ncr:1_{6A85FB9C-287A-4783-9E56-FD34206B69D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MPLOYEE PAYROLL(Cleaned data)" sheetId="1" r:id="rId1"/>
    <sheet name="Salary by Dept. Chart" sheetId="2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P2" i="1" l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B17" i="1"/>
  <c r="D17" i="1" s="1"/>
  <c r="B15" i="1"/>
  <c r="C15" i="1" s="1"/>
  <c r="B18" i="1"/>
  <c r="D18" i="1" s="1"/>
  <c r="B7" i="1"/>
  <c r="B6" i="1"/>
  <c r="B8" i="1"/>
  <c r="C8" i="1" s="1"/>
  <c r="B11" i="1"/>
  <c r="D11" i="1" s="1"/>
  <c r="B20" i="1"/>
  <c r="D20" i="1" s="1"/>
  <c r="B14" i="1"/>
  <c r="D14" i="1" s="1"/>
  <c r="B16" i="1"/>
  <c r="D16" i="1" s="1"/>
  <c r="B12" i="1"/>
  <c r="D12" i="1" s="1"/>
  <c r="B4" i="1"/>
  <c r="B2" i="1"/>
  <c r="C2" i="1" s="1"/>
  <c r="B9" i="1"/>
  <c r="C9" i="1" s="1"/>
  <c r="B19" i="1"/>
  <c r="D19" i="1" s="1"/>
  <c r="B10" i="1"/>
  <c r="D10" i="1" s="1"/>
  <c r="B5" i="1"/>
  <c r="D5" i="1" s="1"/>
  <c r="B3" i="1"/>
  <c r="D3" i="1" s="1"/>
  <c r="B13" i="1"/>
  <c r="D13" i="1" s="1"/>
  <c r="D2" i="1" l="1"/>
  <c r="E2" i="1"/>
  <c r="D9" i="1"/>
  <c r="E9" i="1" s="1"/>
  <c r="D6" i="1"/>
  <c r="C6" i="1"/>
  <c r="F6" i="1" s="1"/>
  <c r="F2" i="1"/>
  <c r="F4" i="1"/>
  <c r="F15" i="1"/>
  <c r="C12" i="1"/>
  <c r="F12" i="1" s="1"/>
  <c r="C18" i="1"/>
  <c r="F18" i="1" s="1"/>
  <c r="D8" i="1"/>
  <c r="E8" i="1" s="1"/>
  <c r="G8" i="1" s="1"/>
  <c r="H8" i="1" s="1"/>
  <c r="C4" i="1"/>
  <c r="C7" i="1"/>
  <c r="F7" i="1" s="1"/>
  <c r="C3" i="1"/>
  <c r="F3" i="1" s="1"/>
  <c r="C5" i="1"/>
  <c r="F5" i="1" s="1"/>
  <c r="C14" i="1"/>
  <c r="F14" i="1" s="1"/>
  <c r="C17" i="1"/>
  <c r="F17" i="1" s="1"/>
  <c r="D4" i="1"/>
  <c r="D7" i="1"/>
  <c r="C13" i="1"/>
  <c r="F13" i="1" s="1"/>
  <c r="C16" i="1"/>
  <c r="E16" i="1" s="1"/>
  <c r="C10" i="1"/>
  <c r="F10" i="1" s="1"/>
  <c r="C20" i="1"/>
  <c r="F20" i="1" s="1"/>
  <c r="F9" i="1"/>
  <c r="F8" i="1"/>
  <c r="E17" i="1"/>
  <c r="C19" i="1"/>
  <c r="E19" i="1" s="1"/>
  <c r="C11" i="1"/>
  <c r="E11" i="1" s="1"/>
  <c r="D15" i="1"/>
  <c r="E15" i="1" s="1"/>
  <c r="E12" i="1" l="1"/>
  <c r="G12" i="1" s="1"/>
  <c r="H12" i="1" s="1"/>
  <c r="G15" i="1"/>
  <c r="H15" i="1" s="1"/>
  <c r="E14" i="1"/>
  <c r="G14" i="1" s="1"/>
  <c r="H14" i="1" s="1"/>
  <c r="E4" i="1"/>
  <c r="G4" i="1" s="1"/>
  <c r="H4" i="1" s="1"/>
  <c r="F16" i="1"/>
  <c r="G16" i="1" s="1"/>
  <c r="H16" i="1" s="1"/>
  <c r="E6" i="1"/>
  <c r="G6" i="1" s="1"/>
  <c r="H6" i="1" s="1"/>
  <c r="E5" i="1"/>
  <c r="G5" i="1" s="1"/>
  <c r="H5" i="1" s="1"/>
  <c r="F11" i="1"/>
  <c r="G11" i="1" s="1"/>
  <c r="H11" i="1" s="1"/>
  <c r="G2" i="1"/>
  <c r="H2" i="1" s="1"/>
  <c r="E18" i="1"/>
  <c r="G18" i="1" s="1"/>
  <c r="H18" i="1" s="1"/>
  <c r="G17" i="1"/>
  <c r="H17" i="1" s="1"/>
  <c r="E3" i="1"/>
  <c r="G3" i="1" s="1"/>
  <c r="H3" i="1" s="1"/>
  <c r="E7" i="1"/>
  <c r="G7" i="1" s="1"/>
  <c r="H7" i="1" s="1"/>
  <c r="G9" i="1"/>
  <c r="H9" i="1" s="1"/>
  <c r="F19" i="1"/>
  <c r="G19" i="1" s="1"/>
  <c r="H19" i="1" s="1"/>
  <c r="E13" i="1"/>
  <c r="E20" i="1"/>
  <c r="G20" i="1" s="1"/>
  <c r="H20" i="1" s="1"/>
  <c r="E10" i="1"/>
  <c r="G10" i="1" s="1"/>
  <c r="H10" i="1" s="1"/>
  <c r="G13" i="1" l="1"/>
  <c r="H13" i="1" s="1"/>
</calcChain>
</file>

<file path=xl/sharedStrings.xml><?xml version="1.0" encoding="utf-8"?>
<sst xmlns="http://schemas.openxmlformats.org/spreadsheetml/2006/main" count="80" uniqueCount="57">
  <si>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</si>
  <si>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</si>
  <si>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</si>
  <si>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</si>
  <si>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</si>
  <si>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</si>
  <si>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</si>
  <si>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</si>
  <si>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</si>
  <si>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</si>
  <si>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</si>
  <si>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</si>
  <si>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</si>
  <si>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</si>
  <si>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</si>
  <si>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</si>
  <si>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</si>
  <si>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</si>
  <si>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</si>
  <si>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</si>
  <si>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</si>
  <si>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</si>
  <si>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</si>
  <si>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</si>
  <si>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</si>
  <si>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>SENIOR TECHNICIAN</t>
  </si>
  <si>
    <t xml:space="preserve">COLE, ASHLEY </t>
  </si>
  <si>
    <t>COOKSON, CHARLES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</si>
  <si>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</si>
  <si>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</si>
  <si>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</si>
  <si>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</si>
  <si>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</si>
  <si>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</si>
  <si>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>DARNSTEIN, DANNY</t>
  </si>
  <si>
    <t xml:space="preserve">FALLENGRANO, BILL </t>
  </si>
  <si>
    <t>Hire Date</t>
  </si>
  <si>
    <t>Salary</t>
  </si>
  <si>
    <t>Department</t>
  </si>
  <si>
    <t>Job Title</t>
  </si>
  <si>
    <t>First Name</t>
  </si>
  <si>
    <t>Last Name</t>
  </si>
  <si>
    <t>Full Names</t>
  </si>
  <si>
    <t>Sum of Salary</t>
  </si>
  <si>
    <t>Accounts</t>
  </si>
  <si>
    <t>Admin</t>
  </si>
  <si>
    <t>Engineering</t>
  </si>
  <si>
    <t>Marketing</t>
  </si>
  <si>
    <t>Sales</t>
  </si>
  <si>
    <t>Raw dept. data</t>
  </si>
  <si>
    <t>CON_function</t>
  </si>
  <si>
    <t>Raw Title data</t>
  </si>
  <si>
    <t>Raw_Full names</t>
  </si>
  <si>
    <t>Proper_Function</t>
  </si>
  <si>
    <t>Find_function</t>
  </si>
  <si>
    <t>Length_function</t>
  </si>
  <si>
    <t>MID_function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</si>
</sst>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[$-409]d\-mmm\-yy;@"/>
    <numFmt numFmtId="165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5" fontId="18" fillId="0" borderId="0" xfId="1" applyNumberFormat="1" applyFont="1"/>
    <xf numFmtId="0" fontId="0" fillId="0" borderId="0" xfId="0" pivotButton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numFmt numFmtId="164" formatCode="[$-409]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[Cleaned_Data_KananeloKhabane.xlsx]Salary by Dept. Chart!PivotTable15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/>
              <a:t>Sum of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Dept.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by Dept. Chart'!$A$4:$A$9</c:f>
              <c:strCache>
                <c:ptCount val="6"/>
                <c:pt idx="0">
                  <c:v>Accounts</c:v>
                </c:pt>
                <c:pt idx="1">
                  <c:v>Admin</c:v>
                </c:pt>
                <c:pt idx="2">
                  <c:v>Engineering</c:v>
                </c:pt>
                <c:pt idx="3">
                  <c:v>Marketing</c:v>
                </c:pt>
                <c:pt idx="4">
                  <c:v>R &amp; D</c:v>
                </c:pt>
                <c:pt idx="5">
                  <c:v>Sales</c:v>
                </c:pt>
              </c:strCache>
            </c:strRef>
          </c:cat>
          <c:val>
            <c:numRef>
              <c:f>'Salary by Dept. Chart'!$B$4:$B$9</c:f>
              <c:numCache>
                <c:formatCode>General</c:formatCode>
                <c:ptCount val="6"/>
                <c:pt idx="0">
                  <c:v>79950</c:v>
                </c:pt>
                <c:pt idx="1">
                  <c:v>85000</c:v>
                </c:pt>
                <c:pt idx="2">
                  <c:v>251750</c:v>
                </c:pt>
                <c:pt idx="3">
                  <c:v>46000</c:v>
                </c:pt>
                <c:pt idx="4">
                  <c:v>84700</c:v>
                </c:pt>
                <c:pt idx="5">
                  <c:v>233500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1-41AD-BDB9-D31C7EF928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5274095"/>
        <c:axId val="128545007"/>
      </c:barChart>
      <c:catAx>
        <c:axId val="12527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5007"/>
        <c:crosses val="autoZero"/>
        <c:auto val="1"/>
        <c:lblAlgn val="ctr"/>
        <c:lblOffset val="100"/>
        <c:noMultiLvlLbl val="0"/>
      </c:catAx>
      <c:valAx>
        <c:axId val="128545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27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2</xdr:row>
      <xdr:rowOff>25400</xdr:rowOff>
    </xdr:from>
    <xdr:to>
      <xdr:col>11</xdr:col>
      <xdr:colOff>250825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25050-DA1A-4FFC-B1CB-ED3B09331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 CENTER" refreshedDate="46079.574755787035" createdVersion="6" refreshedVersion="6" minRefreshableVersion="3" recordCount="19" xr:uid="{2091315A-05A7-4E6E-B2F8-4927F375A0A8}">
  <cacheSource type="worksheet">
    <worksheetSource name="Table1"/>
  </cacheSource>
  <cacheFields count="14">
    <cacheField name="Employee Name" numFmtId="0">
      <sharedItems/>
    </cacheField>
    <cacheField name="Employee Name2" numFmtId="0">
      <sharedItems/>
    </cacheField>
    <cacheField name="Column5" numFmtId="0">
      <sharedItems containsSemiMixedTypes="0" containsString="0" containsNumber="1" containsInteger="1" minValue="4" maxValue="12"/>
    </cacheField>
    <cacheField name="Column3" numFmtId="0">
      <sharedItems containsSemiMixedTypes="0" containsString="0" containsNumber="1" containsInteger="1" minValue="10" maxValue="18"/>
    </cacheField>
    <cacheField name="First Name" numFmtId="0">
      <sharedItems/>
    </cacheField>
    <cacheField name="Last Name" numFmtId="0">
      <sharedItems/>
    </cacheField>
    <cacheField name="Column4" numFmtId="0">
      <sharedItems/>
    </cacheField>
    <cacheField name="Full Names" numFmtId="0">
      <sharedItems/>
    </cacheField>
    <cacheField name="Hire Date" numFmtId="164">
      <sharedItems containsSemiMixedTypes="0" containsNonDate="0" containsDate="1" containsString="0" minDate="2000-11-04T00:00:00" maxDate="2015-07-26T00:00:00"/>
    </cacheField>
    <cacheField name="Salary" numFmtId="165">
      <sharedItems containsSemiMixedTypes="0" containsString="0" containsNumber="1" containsInteger="1" minValue="21000" maxValue="63200"/>
    </cacheField>
    <cacheField name="Column2" numFmtId="0">
      <sharedItems/>
    </cacheField>
    <cacheField name="Department" numFmtId="0">
      <sharedItems count="6">
        <s v="R &amp; D"/>
        <s v="Engineering"/>
        <s v="Sales"/>
        <s v="Accounts"/>
        <s v="Marketing"/>
        <s v="Admin"/>
      </sharedItems>
    </cacheField>
    <cacheField name="Column1" numFmtId="0">
      <sharedItems/>
    </cacheField>
    <cacheField name="Job Tit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COOKSON, CHARLES"/>
    <s v="Cookson, Charles"/>
    <n v="8"/>
    <n v="16"/>
    <s v=" Charles"/>
    <s v="Cookson"/>
    <s v=" Charles Cookson"/>
    <s v="Charles Cookson"/>
    <d v="2012-04-03T00:00:00"/>
    <n v="63200"/>
    <s v="R &amp; D"/>
    <x v="0"/>
    <s v="VP"/>
    <s v="Vice President"/>
  </r>
  <r>
    <s v="FALLENGRANO, BILL "/>
    <s v="Fallengrano, Bill "/>
    <n v="12"/>
    <n v="18"/>
    <s v=" Bill "/>
    <s v="Fallengrano"/>
    <s v=" Bill  Fallengrano"/>
    <s v="Bill Fallengrano"/>
    <d v="2001-06-29T00:00:00"/>
    <n v="56750"/>
    <s v="ENGINEERING"/>
    <x v="1"/>
    <s v="SENIOR ADMINISTRATOR"/>
    <s v="Senior Administrator"/>
  </r>
  <r>
    <s v="COLE, ASHLEY "/>
    <s v="Cole, Ashley "/>
    <n v="5"/>
    <n v="13"/>
    <s v=" Ashley "/>
    <s v="Cole"/>
    <s v=" Ashley  Cole"/>
    <s v="Ashley Cole"/>
    <d v="2010-11-01T00:00:00"/>
    <n v="54000"/>
    <s v="SALES"/>
    <x v="2"/>
    <s v="COST ACCOUNTANT"/>
    <s v="Cost Accountant"/>
  </r>
  <r>
    <s v="DARNSTEIN, DANNY"/>
    <s v="Darnstein, Danny"/>
    <n v="10"/>
    <n v="16"/>
    <s v=" Danny"/>
    <s v="Darnstein"/>
    <s v=" Danny Darnstein"/>
    <s v="Danny Darnstein"/>
    <d v="2011-12-14T00:00:00"/>
    <n v="52000"/>
    <s v="ENGINEERING"/>
    <x v="1"/>
    <s v="COST ACCOUNTANT"/>
    <s v="Cost Accountant"/>
  </r>
  <r>
    <s v="BOATENG, TERRYY"/>
    <s v="Boateng, Terryy"/>
    <n v="8"/>
    <n v="15"/>
    <s v=" Terryy"/>
    <s v="Boateng"/>
    <s v=" Terryy Boateng"/>
    <s v="Terryy Boateng"/>
    <d v="2009-07-27T00:00:00"/>
    <n v="50000"/>
    <s v="ACCOUNTS"/>
    <x v="3"/>
    <s v="COST ACCOUNTANT"/>
    <s v="Cost Accountant"/>
  </r>
  <r>
    <s v="BISHOP, TIANA "/>
    <s v="Bishop, Tiana "/>
    <n v="7"/>
    <n v="14"/>
    <s v=" Tiana "/>
    <s v="Bishop"/>
    <s v=" Tiana  Bishop"/>
    <s v="Tiana Bishop"/>
    <d v="2003-12-04T00:00:00"/>
    <n v="46500"/>
    <s v="ENGINEERING"/>
    <x v="1"/>
    <s v="MANAGER"/>
    <s v="Manager"/>
  </r>
  <r>
    <s v="BOER, FRED "/>
    <s v="Boer, Fred "/>
    <n v="5"/>
    <n v="11"/>
    <s v=" Fred "/>
    <s v="Boer"/>
    <s v=" Fred  Boer"/>
    <s v="Fred Boer"/>
    <d v="2010-12-23T00:00:00"/>
    <n v="46000"/>
    <s v="MKTG"/>
    <x v="4"/>
    <s v="DESIGNER"/>
    <s v="Designer"/>
  </r>
  <r>
    <s v="CROSSLEY, ERIN "/>
    <s v="Crossley, Erin "/>
    <n v="9"/>
    <n v="15"/>
    <s v=" Erin "/>
    <s v="Crossley"/>
    <s v=" Erin  Crossley"/>
    <s v="Erin Crossley"/>
    <d v="2009-04-23T00:00:00"/>
    <n v="46000"/>
    <s v="ADMIN"/>
    <x v="5"/>
    <s v="TEAM LEADER"/>
    <s v="Team Leader"/>
  </r>
  <r>
    <s v="DOE, JOHN  "/>
    <s v="Doe, John  "/>
    <n v="4"/>
    <n v="11"/>
    <s v=" John  "/>
    <s v="Doe"/>
    <s v=" John   Doe"/>
    <s v="John Doe"/>
    <d v="2014-06-05T00:00:00"/>
    <n v="45600"/>
    <s v="ENGINEERING"/>
    <x v="1"/>
    <s v="INTERN"/>
    <s v="Intern"/>
  </r>
  <r>
    <s v="BARKER, BETTY"/>
    <s v="Barker, Betty"/>
    <n v="7"/>
    <n v="13"/>
    <s v=" Betty"/>
    <s v="Barker"/>
    <s v=" Betty Barker"/>
    <s v="Betty Barker"/>
    <d v="2007-07-25T00:00:00"/>
    <n v="43500"/>
    <s v="SALES"/>
    <x v="2"/>
    <s v="SALES EXECUTIVE"/>
    <s v="Sales Executive"/>
  </r>
  <r>
    <s v="CASCIEWICZ, KATHY"/>
    <s v="Casciewicz, Kathy"/>
    <n v="11"/>
    <n v="17"/>
    <s v=" Kathy"/>
    <s v="Casciewicz"/>
    <s v=" Kathy Casciewicz"/>
    <s v="Kathy Casciewicz"/>
    <d v="2011-12-15T00:00:00"/>
    <n v="41000"/>
    <s v="SALES"/>
    <x v="2"/>
    <s v="SENIOR TECHNICIAN"/>
    <s v="Senior Technician"/>
  </r>
  <r>
    <s v="JUAREZ, JOSE "/>
    <s v="Juarez, Jose "/>
    <n v="7"/>
    <n v="13"/>
    <s v=" Jose "/>
    <s v="Juarez"/>
    <s v=" Jose  Juarez"/>
    <s v="Jose Juarez"/>
    <d v="2013-01-23T00:00:00"/>
    <n v="39000"/>
    <s v="ADMIN"/>
    <x v="5"/>
    <s v="INTERN"/>
    <s v="Intern"/>
  </r>
  <r>
    <s v="BURSTEYN, TAMMY "/>
    <s v="Bursteyn, Tammy "/>
    <n v="9"/>
    <n v="16"/>
    <s v=" Tammy "/>
    <s v="Bursteyn"/>
    <s v=" Tammy  Bursteyn"/>
    <s v="Tammy Bursteyn"/>
    <d v="2004-09-08T00:00:00"/>
    <n v="38000"/>
    <s v="SALES"/>
    <x v="2"/>
    <s v="SALES EXECUTIVE"/>
    <s v="Sales Executive"/>
  </r>
  <r>
    <s v="BAKER, SARAH"/>
    <s v="Baker, Sarah"/>
    <n v="6"/>
    <n v="12"/>
    <s v=" Sarah"/>
    <s v="Baker"/>
    <s v=" Sarah Baker"/>
    <s v="Sarah Baker"/>
    <d v="2015-04-30T00:00:00"/>
    <n v="36000"/>
    <s v="SALES"/>
    <x v="2"/>
    <s v="SALES EXECUTIVE"/>
    <s v="Sales Executive"/>
  </r>
  <r>
    <s v="BUSSER, BOBBY"/>
    <s v="Busser, Bobby"/>
    <n v="7"/>
    <n v="13"/>
    <s v=" Bobby"/>
    <s v="Busser"/>
    <s v=" Bobby Busser"/>
    <s v="Bobby Busser"/>
    <d v="2002-06-10T00:00:00"/>
    <n v="29950"/>
    <s v="ACCOUNTS"/>
    <x v="3"/>
    <s v="SENIOR ADMINISTRATOR"/>
    <s v="Senior Administrator"/>
  </r>
  <r>
    <s v="ABRAHAM, JOHNNY "/>
    <s v="Abraham, Johnny "/>
    <n v="8"/>
    <n v="16"/>
    <s v=" Johnny "/>
    <s v="Abraham"/>
    <s v=" Johnny  Abraham"/>
    <s v="Johnny Abraham"/>
    <d v="2013-03-30T00:00:00"/>
    <n v="27000"/>
    <s v="ENGINEERING"/>
    <x v="1"/>
    <s v="TRAINEE"/>
    <s v="Trainee"/>
  </r>
  <r>
    <s v="BALOTELLI, BILLY"/>
    <s v="Balotelli, Billy"/>
    <n v="10"/>
    <n v="16"/>
    <s v=" Billy"/>
    <s v="Balotelli"/>
    <s v=" Billy Balotelli"/>
    <s v="Billy Balotelli"/>
    <d v="2007-11-15T00:00:00"/>
    <n v="23900"/>
    <s v="ENGINEERING"/>
    <x v="1"/>
    <s v="INTERN"/>
    <s v="Intern"/>
  </r>
  <r>
    <s v="DOE, JANE "/>
    <s v="Doe, Jane "/>
    <n v="4"/>
    <n v="10"/>
    <s v=" Jane "/>
    <s v="Doe"/>
    <s v=" Jane  Doe"/>
    <s v="Jane Doe"/>
    <d v="2015-07-25T00:00:00"/>
    <n v="21500"/>
    <s v="R &amp; D"/>
    <x v="0"/>
    <s v="TRAINEE"/>
    <s v="Trainee"/>
  </r>
  <r>
    <s v="BURSTEYN , TOM "/>
    <s v="Bursteyn , Tom "/>
    <n v="10"/>
    <n v="15"/>
    <s v=" Tom "/>
    <s v="Bursteyn "/>
    <s v=" Tom  Bursteyn "/>
    <s v="Tom Bursteyn"/>
    <d v="2000-11-04T00:00:00"/>
    <n v="21000"/>
    <s v="SALES"/>
    <x v="2"/>
    <s v="SALES TRAINEE"/>
    <s v="Sales Train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4A0FA-BE04-459B-92A5-CE47C87CA485}" name="PivotTable1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9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5"/>
        <item x="1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Salary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0" totalsRowShown="0" headerRowDxfId="4">
  <autoFilter ref="A1:N20" xr:uid="{00000000-0009-0000-0100-000001000000}"/>
  <sortState ref="A2:N20">
    <sortCondition descending="1" ref="J1:J20"/>
  </sortState>
  <tableColumns count="14">
    <tableColumn id="1" xr3:uid="{00000000-0010-0000-0000-000001000000}" name="Raw_Full names"/>
    <tableColumn id="2" xr3:uid="{00000000-0010-0000-0000-000002000000}" name="Proper_Function">
      <calculatedColumnFormula>PROPER(A2)</calculatedColumnFormula>
    </tableColumn>
    <tableColumn id="3" xr3:uid="{00000000-0010-0000-0000-000003000000}" name="Find_function">
      <calculatedColumnFormula>FIND(",",B2)</calculatedColumnFormula>
    </tableColumn>
    <tableColumn id="4" xr3:uid="{00000000-0010-0000-0000-000004000000}" name="Length_function">
      <calculatedColumnFormula>LEN(B2)</calculatedColumnFormula>
    </tableColumn>
    <tableColumn id="5" xr3:uid="{00000000-0010-0000-0000-000005000000}" name="First Name">
      <calculatedColumnFormula>RIGHT(B2,D2-C2)</calculatedColumnFormula>
    </tableColumn>
    <tableColumn id="6" xr3:uid="{00000000-0010-0000-0000-000006000000}" name="Last Name">
      <calculatedColumnFormula>LEFT(B2,C2-1)</calculatedColumnFormula>
    </tableColumn>
    <tableColumn id="7" xr3:uid="{00000000-0010-0000-0000-000007000000}" name="CON_function">
      <calculatedColumnFormula>CONCATENATE(E2," ",F2)</calculatedColumnFormula>
    </tableColumn>
    <tableColumn id="8" xr3:uid="{00000000-0010-0000-0000-000008000000}" name="Full Names">
      <calculatedColumnFormula>TRIM(G2)</calculatedColumnFormula>
    </tableColumn>
    <tableColumn id="9" xr3:uid="{00000000-0010-0000-0000-000009000000}" name="Hire Date" dataDxfId="3"/>
    <tableColumn id="10" xr3:uid="{00000000-0010-0000-0000-00000A000000}" name="Salary" dataDxfId="2" dataCellStyle="Currency"/>
    <tableColumn id="11" xr3:uid="{00000000-0010-0000-0000-00000B000000}" name="Raw dept. data"/>
    <tableColumn id="12" xr3:uid="{00000000-0010-0000-0000-00000C000000}" name="Department" dataDxfId="1">
      <calculatedColumnFormula>SUBSTITUTE(PROPER(K2),"Mktg","Marketing")</calculatedColumnFormula>
    </tableColumn>
    <tableColumn id="13" xr3:uid="{00000000-0010-0000-0000-00000D000000}" name="Raw Title data"/>
    <tableColumn id="14" xr3:uid="{00000000-0010-0000-0000-00000E000000}" name="Job Title" dataDxfId="0">
      <calculatedColumnFormula>SUBSTITUTE(PROPER(M2),"Vp","Vice President")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B7" workbookViewId="0">
      <selection activeCell="P1" sqref="P1:P1048576"/>
    </sheetView>
  </sheetViews>
  <sheetFormatPr defaultRowHeight="14.5" x14ac:dyDescent="0.35"/>
  <cols>
    <col min="1" max="1" width="20.54296875" hidden="1" customWidth="1"/>
    <col min="2" max="2" width="17.26953125" customWidth="1"/>
    <col min="3" max="4" width="18.54296875" hidden="1" customWidth="1"/>
    <col min="5" max="6" width="18.54296875" customWidth="1"/>
    <col min="7" max="7" width="18.54296875" hidden="1" customWidth="1"/>
    <col min="8" max="8" width="18.54296875" customWidth="1"/>
    <col min="9" max="9" width="16.08984375" style="2" customWidth="1"/>
    <col min="10" max="10" width="16.7265625" style="1" customWidth="1"/>
    <col min="11" max="11" width="10.26953125" hidden="1" customWidth="1"/>
    <col min="12" max="12" width="17.26953125" customWidth="1"/>
    <col min="13" max="13" width="7.08984375" hidden="1" customWidth="1"/>
    <col min="14" max="14" width="21.453125" customWidth="1"/>
    <col min="16" max="16" width="0" hidden="1" customWidth="1"/>
  </cols>
  <sheetData>
    <row r="1" spans="1:16" s="4" customFormat="1" ht="17" x14ac:dyDescent="0.5">
      <c r="A1" s="4" t="s">
        <v>52</v>
      </c>
      <c r="B1" s="4" t="s">
        <v>53</v>
      </c>
      <c r="C1" s="4" t="s">
        <v>54</v>
      </c>
      <c r="D1" s="4" t="s">
        <v>55</v>
      </c>
      <c r="E1" s="4" t="s">
        <v>40</v>
      </c>
      <c r="F1" s="4" t="s">
        <v>41</v>
      </c>
      <c r="G1" s="4" t="s">
        <v>50</v>
      </c>
      <c r="H1" s="4" t="s">
        <v>42</v>
      </c>
      <c r="I1" s="5" t="s">
        <v>36</v>
      </c>
      <c r="J1" s="6" t="s">
        <v>37</v>
      </c>
      <c r="K1" s="4" t="s">
        <v>49</v>
      </c>
      <c r="L1" s="4" t="s">
        <v>38</v>
      </c>
      <c r="M1" s="4" t="s">
        <v>51</v>
      </c>
      <c r="N1" s="4" t="s">
        <v>39</v>
      </c>
      <c r="P1" s="4" t="s">
        <v>56</v>
      </c>
    </row>
    <row r="2" spans="1:16" x14ac:dyDescent="0.35">
      <c r="A2" t="s">
        <v>27</v>
      </c>
      <c r="B2" t="str">
        <f t="shared" ref="B2:B20" si="0">PROPER(A2)</f>
        <v>Cookson, Charles</v>
      </c>
      <c r="C2">
        <f t="shared" ref="C2:C20" si="1">FIND(",",B2)</f>
        <v>8</v>
      </c>
      <c r="D2">
        <f t="shared" ref="D2:D20" si="2">LEN(B2)</f>
        <v>16</v>
      </c>
      <c r="E2" t="str">
        <f t="shared" ref="E2:E20" si="3">RIGHT(B2,D2-C2)</f>
        <v xml:space="preserve"> Charles</v>
      </c>
      <c r="F2" t="str">
        <f t="shared" ref="F2:F20" si="4">LEFT(B2,C2-1)</f>
        <v>Cookson</v>
      </c>
      <c r="G2" t="str">
        <f t="shared" ref="G2:G20" si="5">CONCATENATE(E2," ",F2)</f>
        <v xml:space="preserve"> Charles Cookson</v>
      </c>
      <c r="H2" t="str">
        <f t="shared" ref="H2:H12" si="6">TRIM(G2)</f>
        <v>Charles Cookson</v>
      </c>
      <c r="I2" s="3">
        <v>41002</v>
      </c>
      <c r="J2" s="1">
        <v>63200</v>
      </c>
      <c r="K2" t="s">
        <v>28</v>
      </c>
      <c r="L2" t="str">
        <f t="shared" ref="L2:L20" si="7">SUBSTITUTE(PROPER(K2),"Mktg","Marketing")</f>
        <v>R &amp; D</v>
      </c>
      <c r="M2" t="s">
        <v>29</v>
      </c>
      <c r="N2" t="str">
        <f t="shared" ref="N2:N20" si="8">SUBSTITUTE(PROPER(M2),"Vp","Vice President")</f>
        <v>Vice President</v>
      </c>
      <c r="P2" t="str">
        <f>MID(F3,3,5)</f>
        <v>lleng</v>
      </c>
    </row>
    <row r="3" spans="1:16" x14ac:dyDescent="0.35">
      <c r="A3" t="s">
        <v>35</v>
      </c>
      <c r="B3" t="str">
        <f t="shared" si="0"/>
        <v xml:space="preserve">Fallengrano, Bill </v>
      </c>
      <c r="C3">
        <f t="shared" si="1"/>
        <v>12</v>
      </c>
      <c r="D3">
        <f t="shared" si="2"/>
        <v>18</v>
      </c>
      <c r="E3" t="str">
        <f t="shared" si="3"/>
        <v xml:space="preserve"> Bill </v>
      </c>
      <c r="F3" t="str">
        <f t="shared" si="4"/>
        <v>Fallengrano</v>
      </c>
      <c r="G3" t="str">
        <f t="shared" si="5"/>
        <v xml:space="preserve"> Bill  Fallengrano</v>
      </c>
      <c r="H3" t="str">
        <f t="shared" si="6"/>
        <v>Bill Fallengrano</v>
      </c>
      <c r="I3" s="3">
        <v>37071</v>
      </c>
      <c r="J3" s="1">
        <v>56750</v>
      </c>
      <c r="K3" t="s">
        <v>4</v>
      </c>
      <c r="L3" t="str">
        <f t="shared" si="7"/>
        <v>Engineering</v>
      </c>
      <c r="M3" t="s">
        <v>23</v>
      </c>
      <c r="N3" t="str">
        <f t="shared" si="8"/>
        <v>Senior Administrator</v>
      </c>
    </row>
    <row r="4" spans="1:16" x14ac:dyDescent="0.35">
      <c r="A4" t="s">
        <v>26</v>
      </c>
      <c r="B4" t="str">
        <f t="shared" si="0"/>
        <v xml:space="preserve">Cole, Ashley </v>
      </c>
      <c r="C4">
        <f t="shared" si="1"/>
        <v>5</v>
      </c>
      <c r="D4">
        <f t="shared" si="2"/>
        <v>13</v>
      </c>
      <c r="E4" t="str">
        <f t="shared" si="3"/>
        <v xml:space="preserve"> Ashley </v>
      </c>
      <c r="F4" t="str">
        <f t="shared" si="4"/>
        <v>Cole</v>
      </c>
      <c r="G4" t="str">
        <f t="shared" si="5"/>
        <v xml:space="preserve"> Ashley  Cole</v>
      </c>
      <c r="H4" t="str">
        <f t="shared" si="6"/>
        <v>Ashley Cole</v>
      </c>
      <c r="I4" s="3">
        <v>40483</v>
      </c>
      <c r="J4" s="1">
        <v>54000</v>
      </c>
      <c r="K4" t="s">
        <v>7</v>
      </c>
      <c r="L4" t="str">
        <f t="shared" si="7"/>
        <v>Sales</v>
      </c>
      <c r="M4" t="s">
        <v>14</v>
      </c>
      <c r="N4" t="str">
        <f t="shared" si="8"/>
        <v>Cost Accountant</v>
      </c>
    </row>
    <row r="5" spans="1:16" x14ac:dyDescent="0.35">
      <c r="A5" t="s">
        <v>34</v>
      </c>
      <c r="B5" t="str">
        <f t="shared" si="0"/>
        <v>Darnstein, Danny</v>
      </c>
      <c r="C5">
        <f t="shared" si="1"/>
        <v>10</v>
      </c>
      <c r="D5">
        <f t="shared" si="2"/>
        <v>16</v>
      </c>
      <c r="E5" t="str">
        <f t="shared" si="3"/>
        <v xml:space="preserve"> Danny</v>
      </c>
      <c r="F5" t="str">
        <f t="shared" si="4"/>
        <v>Darnstein</v>
      </c>
      <c r="G5" t="str">
        <f t="shared" si="5"/>
        <v xml:space="preserve"> Danny Darnstein</v>
      </c>
      <c r="H5" t="str">
        <f t="shared" si="6"/>
        <v>Danny Darnstein</v>
      </c>
      <c r="I5" s="3">
        <v>40891</v>
      </c>
      <c r="J5" s="1">
        <v>52000</v>
      </c>
      <c r="K5" t="s">
        <v>4</v>
      </c>
      <c r="L5" t="str">
        <f t="shared" si="7"/>
        <v>Engineering</v>
      </c>
      <c r="M5" t="s">
        <v>14</v>
      </c>
      <c r="N5" t="str">
        <f t="shared" si="8"/>
        <v>Cost Accountant</v>
      </c>
    </row>
    <row r="6" spans="1:16" x14ac:dyDescent="0.35">
      <c r="A6" t="s">
        <v>12</v>
      </c>
      <c r="B6" t="str">
        <f t="shared" si="0"/>
        <v>Boateng, Terryy</v>
      </c>
      <c r="C6">
        <f t="shared" si="1"/>
        <v>8</v>
      </c>
      <c r="D6">
        <f t="shared" si="2"/>
        <v>15</v>
      </c>
      <c r="E6" t="str">
        <f t="shared" si="3"/>
        <v xml:space="preserve"> Terryy</v>
      </c>
      <c r="F6" t="str">
        <f t="shared" si="4"/>
        <v>Boateng</v>
      </c>
      <c r="G6" t="str">
        <f t="shared" si="5"/>
        <v xml:space="preserve"> Terryy Boateng</v>
      </c>
      <c r="H6" t="str">
        <f t="shared" si="6"/>
        <v>Terryy Boateng</v>
      </c>
      <c r="I6" s="3">
        <v>40021</v>
      </c>
      <c r="J6" s="1">
        <v>50000</v>
      </c>
      <c r="K6" t="s">
        <v>13</v>
      </c>
      <c r="L6" t="str">
        <f t="shared" si="7"/>
        <v>Accounts</v>
      </c>
      <c r="M6" t="s">
        <v>14</v>
      </c>
      <c r="N6" t="str">
        <f t="shared" si="8"/>
        <v>Cost Accountant</v>
      </c>
    </row>
    <row r="7" spans="1:16" x14ac:dyDescent="0.35">
      <c r="A7" t="s">
        <v>10</v>
      </c>
      <c r="B7" t="str">
        <f t="shared" si="0"/>
        <v xml:space="preserve">Bishop, Tiana </v>
      </c>
      <c r="C7">
        <f t="shared" si="1"/>
        <v>7</v>
      </c>
      <c r="D7">
        <f t="shared" si="2"/>
        <v>14</v>
      </c>
      <c r="E7" t="str">
        <f t="shared" si="3"/>
        <v xml:space="preserve"> Tiana </v>
      </c>
      <c r="F7" t="str">
        <f t="shared" si="4"/>
        <v>Bishop</v>
      </c>
      <c r="G7" t="str">
        <f t="shared" si="5"/>
        <v xml:space="preserve"> Tiana  Bishop</v>
      </c>
      <c r="H7" t="str">
        <f t="shared" si="6"/>
        <v>Tiana Bishop</v>
      </c>
      <c r="I7" s="3">
        <v>37959</v>
      </c>
      <c r="J7" s="1">
        <v>46500</v>
      </c>
      <c r="K7" t="s">
        <v>4</v>
      </c>
      <c r="L7" t="str">
        <f t="shared" si="7"/>
        <v>Engineering</v>
      </c>
      <c r="M7" t="s">
        <v>11</v>
      </c>
      <c r="N7" t="str">
        <f t="shared" si="8"/>
        <v>Manager</v>
      </c>
    </row>
    <row r="8" spans="1:16" x14ac:dyDescent="0.35">
      <c r="A8" t="s">
        <v>15</v>
      </c>
      <c r="B8" t="str">
        <f t="shared" si="0"/>
        <v xml:space="preserve">Boer, Fred </v>
      </c>
      <c r="C8">
        <f t="shared" si="1"/>
        <v>5</v>
      </c>
      <c r="D8">
        <f t="shared" si="2"/>
        <v>11</v>
      </c>
      <c r="E8" t="str">
        <f t="shared" si="3"/>
        <v xml:space="preserve"> Fred </v>
      </c>
      <c r="F8" t="str">
        <f t="shared" si="4"/>
        <v>Boer</v>
      </c>
      <c r="G8" t="str">
        <f t="shared" si="5"/>
        <v xml:space="preserve"> Fred  Boer</v>
      </c>
      <c r="H8" t="str">
        <f t="shared" si="6"/>
        <v>Fred Boer</v>
      </c>
      <c r="I8" s="3">
        <v>40535</v>
      </c>
      <c r="J8" s="1">
        <v>46000</v>
      </c>
      <c r="K8" t="s">
        <v>16</v>
      </c>
      <c r="L8" t="str">
        <f t="shared" si="7"/>
        <v>Marketing</v>
      </c>
      <c r="M8" t="s">
        <v>17</v>
      </c>
      <c r="N8" t="str">
        <f t="shared" si="8"/>
        <v>Designer</v>
      </c>
    </row>
    <row r="9" spans="1:16" x14ac:dyDescent="0.35">
      <c r="A9" t="s">
        <v>30</v>
      </c>
      <c r="B9" t="str">
        <f t="shared" si="0"/>
        <v xml:space="preserve">Crossley, Erin </v>
      </c>
      <c r="C9">
        <f t="shared" si="1"/>
        <v>9</v>
      </c>
      <c r="D9">
        <f t="shared" si="2"/>
        <v>15</v>
      </c>
      <c r="E9" t="str">
        <f t="shared" si="3"/>
        <v xml:space="preserve"> Erin </v>
      </c>
      <c r="F9" t="str">
        <f t="shared" si="4"/>
        <v>Crossley</v>
      </c>
      <c r="G9" t="str">
        <f t="shared" si="5"/>
        <v xml:space="preserve"> Erin  Crossley</v>
      </c>
      <c r="H9" t="str">
        <f t="shared" si="6"/>
        <v>Erin Crossley</v>
      </c>
      <c r="I9" s="3">
        <v>39926</v>
      </c>
      <c r="J9" s="1">
        <v>46000</v>
      </c>
      <c r="K9" t="s">
        <v>1</v>
      </c>
      <c r="L9" t="str">
        <f t="shared" si="7"/>
        <v>Admin</v>
      </c>
      <c r="M9" t="s">
        <v>31</v>
      </c>
      <c r="N9" t="str">
        <f t="shared" si="8"/>
        <v>Team Leader</v>
      </c>
    </row>
    <row r="10" spans="1:16" x14ac:dyDescent="0.35">
      <c r="A10" t="s">
        <v>33</v>
      </c>
      <c r="B10" t="str">
        <f t="shared" si="0"/>
        <v xml:space="preserve">Doe, John  </v>
      </c>
      <c r="C10">
        <f t="shared" si="1"/>
        <v>4</v>
      </c>
      <c r="D10">
        <f t="shared" si="2"/>
        <v>11</v>
      </c>
      <c r="E10" t="str">
        <f t="shared" si="3"/>
        <v xml:space="preserve"> John  </v>
      </c>
      <c r="F10" t="str">
        <f t="shared" si="4"/>
        <v>Doe</v>
      </c>
      <c r="G10" t="str">
        <f t="shared" si="5"/>
        <v xml:space="preserve"> John   Doe</v>
      </c>
      <c r="H10" t="str">
        <f t="shared" si="6"/>
        <v>John Doe</v>
      </c>
      <c r="I10" s="3">
        <v>41795</v>
      </c>
      <c r="J10" s="1">
        <v>45600</v>
      </c>
      <c r="K10" t="s">
        <v>4</v>
      </c>
      <c r="L10" t="str">
        <f t="shared" si="7"/>
        <v>Engineering</v>
      </c>
      <c r="M10" t="s">
        <v>2</v>
      </c>
      <c r="N10" t="str">
        <f t="shared" si="8"/>
        <v>Intern</v>
      </c>
    </row>
    <row r="11" spans="1:16" x14ac:dyDescent="0.35">
      <c r="A11" t="s">
        <v>18</v>
      </c>
      <c r="B11" t="str">
        <f t="shared" si="0"/>
        <v>Barker, Betty</v>
      </c>
      <c r="C11">
        <f t="shared" si="1"/>
        <v>7</v>
      </c>
      <c r="D11">
        <f t="shared" si="2"/>
        <v>13</v>
      </c>
      <c r="E11" t="str">
        <f t="shared" si="3"/>
        <v xml:space="preserve"> Betty</v>
      </c>
      <c r="F11" t="str">
        <f t="shared" si="4"/>
        <v>Barker</v>
      </c>
      <c r="G11" t="str">
        <f t="shared" si="5"/>
        <v xml:space="preserve"> Betty Barker</v>
      </c>
      <c r="H11" t="str">
        <f t="shared" si="6"/>
        <v>Betty Barker</v>
      </c>
      <c r="I11" s="3">
        <v>39288</v>
      </c>
      <c r="J11" s="1">
        <v>43500</v>
      </c>
      <c r="K11" t="s">
        <v>7</v>
      </c>
      <c r="L11" t="str">
        <f t="shared" si="7"/>
        <v>Sales</v>
      </c>
      <c r="M11" t="s">
        <v>8</v>
      </c>
      <c r="N11" t="str">
        <f t="shared" si="8"/>
        <v>Sales Executive</v>
      </c>
    </row>
    <row r="12" spans="1:16" x14ac:dyDescent="0.35">
      <c r="A12" t="s">
        <v>24</v>
      </c>
      <c r="B12" t="str">
        <f t="shared" si="0"/>
        <v>Casciewicz, Kathy</v>
      </c>
      <c r="C12">
        <f t="shared" si="1"/>
        <v>11</v>
      </c>
      <c r="D12">
        <f t="shared" si="2"/>
        <v>17</v>
      </c>
      <c r="E12" t="str">
        <f t="shared" si="3"/>
        <v xml:space="preserve"> Kathy</v>
      </c>
      <c r="F12" t="str">
        <f t="shared" si="4"/>
        <v>Casciewicz</v>
      </c>
      <c r="G12" t="str">
        <f t="shared" si="5"/>
        <v xml:space="preserve"> Kathy Casciewicz</v>
      </c>
      <c r="H12" t="str">
        <f t="shared" si="6"/>
        <v>Kathy Casciewicz</v>
      </c>
      <c r="I12" s="3">
        <v>40892</v>
      </c>
      <c r="J12" s="1">
        <v>41000</v>
      </c>
      <c r="K12" t="s">
        <v>7</v>
      </c>
      <c r="L12" t="str">
        <f t="shared" si="7"/>
        <v>Sales</v>
      </c>
      <c r="M12" t="s">
        <v>25</v>
      </c>
      <c r="N12" t="str">
        <f t="shared" si="8"/>
        <v>Senior Technician</v>
      </c>
    </row>
    <row r="13" spans="1:16" x14ac:dyDescent="0.35">
      <c r="A13" t="s">
        <v>0</v>
      </c>
      <c r="B13" t="str">
        <f t="shared" si="0"/>
        <v xml:space="preserve">Juarez, Jose </v>
      </c>
      <c r="C13">
        <f t="shared" si="1"/>
        <v>7</v>
      </c>
      <c r="D13">
        <f t="shared" si="2"/>
        <v>13</v>
      </c>
      <c r="E13" t="str">
        <f t="shared" si="3"/>
        <v xml:space="preserve"> Jose </v>
      </c>
      <c r="F13" t="str">
        <f t="shared" si="4"/>
        <v>Juarez</v>
      </c>
      <c r="G13" t="str">
        <f t="shared" si="5"/>
        <v xml:space="preserve"> Jose  Juarez</v>
      </c>
      <c r="H13" t="str">
        <f t="shared" ref="H13:H20" si="9">TRIM(G13)</f>
        <v>Jose Juarez</v>
      </c>
      <c r="I13" s="3">
        <v>41297</v>
      </c>
      <c r="J13" s="1">
        <v>39000</v>
      </c>
      <c r="K13" t="s">
        <v>1</v>
      </c>
      <c r="L13" t="str">
        <f t="shared" si="7"/>
        <v>Admin</v>
      </c>
      <c r="M13" t="s">
        <v>2</v>
      </c>
      <c r="N13" t="str">
        <f t="shared" si="8"/>
        <v>Intern</v>
      </c>
    </row>
    <row r="14" spans="1:16" x14ac:dyDescent="0.35">
      <c r="A14" t="s">
        <v>21</v>
      </c>
      <c r="B14" t="str">
        <f t="shared" si="0"/>
        <v xml:space="preserve">Bursteyn, Tammy </v>
      </c>
      <c r="C14">
        <f t="shared" si="1"/>
        <v>9</v>
      </c>
      <c r="D14">
        <f t="shared" si="2"/>
        <v>16</v>
      </c>
      <c r="E14" t="str">
        <f t="shared" si="3"/>
        <v xml:space="preserve"> Tammy </v>
      </c>
      <c r="F14" t="str">
        <f t="shared" si="4"/>
        <v>Bursteyn</v>
      </c>
      <c r="G14" t="str">
        <f t="shared" si="5"/>
        <v xml:space="preserve"> Tammy  Bursteyn</v>
      </c>
      <c r="H14" t="str">
        <f t="shared" si="9"/>
        <v>Tammy Bursteyn</v>
      </c>
      <c r="I14" s="3">
        <v>38238</v>
      </c>
      <c r="J14" s="1">
        <v>38000</v>
      </c>
      <c r="K14" t="s">
        <v>7</v>
      </c>
      <c r="L14" t="str">
        <f t="shared" si="7"/>
        <v>Sales</v>
      </c>
      <c r="M14" t="s">
        <v>8</v>
      </c>
      <c r="N14" t="str">
        <f t="shared" si="8"/>
        <v>Sales Executive</v>
      </c>
    </row>
    <row r="15" spans="1:16" x14ac:dyDescent="0.35">
      <c r="A15" t="s">
        <v>6</v>
      </c>
      <c r="B15" t="str">
        <f t="shared" si="0"/>
        <v>Baker, Sarah</v>
      </c>
      <c r="C15">
        <f t="shared" si="1"/>
        <v>6</v>
      </c>
      <c r="D15">
        <f t="shared" si="2"/>
        <v>12</v>
      </c>
      <c r="E15" t="str">
        <f t="shared" si="3"/>
        <v xml:space="preserve"> Sarah</v>
      </c>
      <c r="F15" t="str">
        <f t="shared" si="4"/>
        <v>Baker</v>
      </c>
      <c r="G15" t="str">
        <f t="shared" si="5"/>
        <v xml:space="preserve"> Sarah Baker</v>
      </c>
      <c r="H15" t="str">
        <f t="shared" si="9"/>
        <v>Sarah Baker</v>
      </c>
      <c r="I15" s="3">
        <v>42124</v>
      </c>
      <c r="J15" s="1">
        <v>36000</v>
      </c>
      <c r="K15" t="s">
        <v>7</v>
      </c>
      <c r="L15" t="str">
        <f t="shared" si="7"/>
        <v>Sales</v>
      </c>
      <c r="M15" t="s">
        <v>8</v>
      </c>
      <c r="N15" t="str">
        <f t="shared" si="8"/>
        <v>Sales Executive</v>
      </c>
    </row>
    <row r="16" spans="1:16" x14ac:dyDescent="0.35">
      <c r="A16" t="s">
        <v>22</v>
      </c>
      <c r="B16" t="str">
        <f t="shared" si="0"/>
        <v>Busser, Bobby</v>
      </c>
      <c r="C16">
        <f t="shared" si="1"/>
        <v>7</v>
      </c>
      <c r="D16">
        <f t="shared" si="2"/>
        <v>13</v>
      </c>
      <c r="E16" t="str">
        <f t="shared" si="3"/>
        <v xml:space="preserve"> Bobby</v>
      </c>
      <c r="F16" t="str">
        <f t="shared" si="4"/>
        <v>Busser</v>
      </c>
      <c r="G16" t="str">
        <f t="shared" si="5"/>
        <v xml:space="preserve"> Bobby Busser</v>
      </c>
      <c r="H16" t="str">
        <f t="shared" si="9"/>
        <v>Bobby Busser</v>
      </c>
      <c r="I16" s="3">
        <v>37417</v>
      </c>
      <c r="J16" s="1">
        <v>29950</v>
      </c>
      <c r="K16" t="s">
        <v>13</v>
      </c>
      <c r="L16" t="str">
        <f t="shared" si="7"/>
        <v>Accounts</v>
      </c>
      <c r="M16" t="s">
        <v>23</v>
      </c>
      <c r="N16" t="str">
        <f t="shared" si="8"/>
        <v>Senior Administrator</v>
      </c>
    </row>
    <row r="17" spans="1:14" x14ac:dyDescent="0.35">
      <c r="A17" t="s">
        <v>3</v>
      </c>
      <c r="B17" t="str">
        <f t="shared" si="0"/>
        <v xml:space="preserve">Abraham, Johnny </v>
      </c>
      <c r="C17">
        <f t="shared" si="1"/>
        <v>8</v>
      </c>
      <c r="D17">
        <f t="shared" si="2"/>
        <v>16</v>
      </c>
      <c r="E17" t="str">
        <f t="shared" si="3"/>
        <v xml:space="preserve"> Johnny </v>
      </c>
      <c r="F17" t="str">
        <f t="shared" si="4"/>
        <v>Abraham</v>
      </c>
      <c r="G17" t="str">
        <f t="shared" si="5"/>
        <v xml:space="preserve"> Johnny  Abraham</v>
      </c>
      <c r="H17" t="str">
        <f t="shared" si="9"/>
        <v>Johnny Abraham</v>
      </c>
      <c r="I17" s="3">
        <v>41363</v>
      </c>
      <c r="J17" s="1">
        <v>27000</v>
      </c>
      <c r="K17" t="s">
        <v>4</v>
      </c>
      <c r="L17" t="str">
        <f t="shared" si="7"/>
        <v>Engineering</v>
      </c>
      <c r="M17" t="s">
        <v>5</v>
      </c>
      <c r="N17" t="str">
        <f t="shared" si="8"/>
        <v>Trainee</v>
      </c>
    </row>
    <row r="18" spans="1:14" x14ac:dyDescent="0.35">
      <c r="A18" t="s">
        <v>9</v>
      </c>
      <c r="B18" t="str">
        <f t="shared" si="0"/>
        <v>Balotelli, Billy</v>
      </c>
      <c r="C18">
        <f t="shared" si="1"/>
        <v>10</v>
      </c>
      <c r="D18">
        <f t="shared" si="2"/>
        <v>16</v>
      </c>
      <c r="E18" t="str">
        <f t="shared" si="3"/>
        <v xml:space="preserve"> Billy</v>
      </c>
      <c r="F18" t="str">
        <f t="shared" si="4"/>
        <v>Balotelli</v>
      </c>
      <c r="G18" t="str">
        <f t="shared" si="5"/>
        <v xml:space="preserve"> Billy Balotelli</v>
      </c>
      <c r="H18" t="str">
        <f t="shared" si="9"/>
        <v>Billy Balotelli</v>
      </c>
      <c r="I18" s="3">
        <v>39401</v>
      </c>
      <c r="J18" s="1">
        <v>23900</v>
      </c>
      <c r="K18" t="s">
        <v>4</v>
      </c>
      <c r="L18" t="str">
        <f t="shared" si="7"/>
        <v>Engineering</v>
      </c>
      <c r="M18" t="s">
        <v>2</v>
      </c>
      <c r="N18" t="str">
        <f t="shared" si="8"/>
        <v>Intern</v>
      </c>
    </row>
    <row r="19" spans="1:14" x14ac:dyDescent="0.35">
      <c r="A19" t="s">
        <v>32</v>
      </c>
      <c r="B19" t="str">
        <f t="shared" si="0"/>
        <v xml:space="preserve">Doe, Jane </v>
      </c>
      <c r="C19">
        <f t="shared" si="1"/>
        <v>4</v>
      </c>
      <c r="D19">
        <f t="shared" si="2"/>
        <v>10</v>
      </c>
      <c r="E19" t="str">
        <f t="shared" si="3"/>
        <v xml:space="preserve"> Jane </v>
      </c>
      <c r="F19" t="str">
        <f t="shared" si="4"/>
        <v>Doe</v>
      </c>
      <c r="G19" t="str">
        <f t="shared" si="5"/>
        <v xml:space="preserve"> Jane  Doe</v>
      </c>
      <c r="H19" t="str">
        <f t="shared" si="9"/>
        <v>Jane Doe</v>
      </c>
      <c r="I19" s="3">
        <v>42210</v>
      </c>
      <c r="J19" s="1">
        <v>21500</v>
      </c>
      <c r="K19" t="s">
        <v>28</v>
      </c>
      <c r="L19" t="str">
        <f t="shared" si="7"/>
        <v>R &amp; D</v>
      </c>
      <c r="M19" t="s">
        <v>5</v>
      </c>
      <c r="N19" t="str">
        <f t="shared" si="8"/>
        <v>Trainee</v>
      </c>
    </row>
    <row r="20" spans="1:14" x14ac:dyDescent="0.35">
      <c r="A20" t="s">
        <v>19</v>
      </c>
      <c r="B20" t="str">
        <f t="shared" si="0"/>
        <v xml:space="preserve">Bursteyn , Tom </v>
      </c>
      <c r="C20">
        <f t="shared" si="1"/>
        <v>10</v>
      </c>
      <c r="D20">
        <f t="shared" si="2"/>
        <v>15</v>
      </c>
      <c r="E20" t="str">
        <f t="shared" si="3"/>
        <v xml:space="preserve"> Tom </v>
      </c>
      <c r="F20" t="str">
        <f t="shared" si="4"/>
        <v xml:space="preserve">Bursteyn </v>
      </c>
      <c r="G20" t="str">
        <f t="shared" si="5"/>
        <v xml:space="preserve"> Tom  Bursteyn </v>
      </c>
      <c r="H20" t="str">
        <f t="shared" si="9"/>
        <v>Tom Bursteyn</v>
      </c>
      <c r="I20" s="3">
        <v>36834</v>
      </c>
      <c r="J20" s="1">
        <v>21000</v>
      </c>
      <c r="K20" t="s">
        <v>7</v>
      </c>
      <c r="L20" t="str">
        <f t="shared" si="7"/>
        <v>Sales</v>
      </c>
      <c r="M20" t="s">
        <v>20</v>
      </c>
      <c r="N20" t="str">
        <f t="shared" si="8"/>
        <v>Sales Trainee</v>
      </c>
    </row>
    <row r="21" spans="1:14" x14ac:dyDescent="0.35">
      <c r="I21" s="3"/>
    </row>
    <row r="22" spans="1:14" x14ac:dyDescent="0.35">
      <c r="I2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B117-E383-41A7-B5A9-4D9947DF9DC9}">
  <dimension ref="A3:B9"/>
  <sheetViews>
    <sheetView workbookViewId="0">
      <selection activeCell="A2" sqref="A2"/>
    </sheetView>
  </sheetViews>
  <sheetFormatPr defaultRowHeight="14.5" x14ac:dyDescent="0.35"/>
  <cols>
    <col min="1" max="1" width="13.36328125" bestFit="1" customWidth="1"/>
    <col min="2" max="2" width="12.08984375" bestFit="1" customWidth="1"/>
  </cols>
  <sheetData>
    <row r="3" spans="1:2" x14ac:dyDescent="0.35">
      <c r="A3" s="7" t="s">
        <v>38</v>
      </c>
      <c r="B3" t="s">
        <v>43</v>
      </c>
    </row>
    <row r="4" spans="1:2" x14ac:dyDescent="0.35">
      <c r="A4" t="s">
        <v>44</v>
      </c>
      <c r="B4" s="8">
        <v>79950</v>
      </c>
    </row>
    <row r="5" spans="1:2" x14ac:dyDescent="0.35">
      <c r="A5" t="s">
        <v>45</v>
      </c>
      <c r="B5" s="8">
        <v>85000</v>
      </c>
    </row>
    <row r="6" spans="1:2" x14ac:dyDescent="0.35">
      <c r="A6" t="s">
        <v>46</v>
      </c>
      <c r="B6" s="8">
        <v>251750</v>
      </c>
    </row>
    <row r="7" spans="1:2" x14ac:dyDescent="0.35">
      <c r="A7" t="s">
        <v>47</v>
      </c>
      <c r="B7" s="8">
        <v>46000</v>
      </c>
    </row>
    <row r="8" spans="1:2" x14ac:dyDescent="0.35">
      <c r="A8" t="s">
        <v>28</v>
      </c>
      <c r="B8" s="8">
        <v>84700</v>
      </c>
    </row>
    <row r="9" spans="1:2" x14ac:dyDescent="0.35">
      <c r="A9" t="s">
        <v>48</v>
      </c>
      <c r="B9" s="8">
        <v>233500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PAYROLL(Cleaned data)</vt:lpstr>
      <vt:lpstr>Salary by Dept.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Kananelo Khabane</dc:creator>
  <cp:lastModifiedBy>IT CENTER</cp:lastModifiedBy>
  <dcterms:created xsi:type="dcterms:W3CDTF">2026-02-26T11:35:21Z</dcterms:created>
  <dcterms:modified xsi:type="dcterms:W3CDTF">2026-02-26T13:26:58Z</dcterms:modified>
</cp:coreProperties>
</file>