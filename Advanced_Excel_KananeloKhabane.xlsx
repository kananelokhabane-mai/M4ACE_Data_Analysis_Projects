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14\Desktop\M4ACE\"/>
    </mc:Choice>
  </mc:AlternateContent>
  <xr:revisionPtr revIDLastSave="0" documentId="13_ncr:1_{A5AF9777-E08B-4574-A0B2-02EDE4326D55}" xr6:coauthVersionLast="36" xr6:coauthVersionMax="36" xr10:uidLastSave="{00000000-0000-0000-0000-000000000000}"/>
  <bookViews>
    <workbookView xWindow="0" yWindow="0" windowWidth="19200" windowHeight="6810" tabRatio="808" firstSheet="3" activeTab="3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A5" i="10"/>
  <c r="A2" i="10"/>
  <c r="G2" i="9"/>
  <c r="E23" i="8"/>
  <c r="D18" i="8"/>
  <c r="D14" i="8"/>
  <c r="D10" i="8"/>
  <c r="D2" i="8"/>
  <c r="A32" i="7"/>
  <c r="A29" i="7"/>
  <c r="B25" i="7"/>
  <c r="C22" i="7"/>
  <c r="C23" i="7"/>
  <c r="C21" i="7"/>
  <c r="A19" i="7"/>
  <c r="A16" i="7"/>
  <c r="A15" i="7"/>
  <c r="B12" i="7"/>
  <c r="B11" i="7"/>
  <c r="B6" i="7"/>
  <c r="B2" i="7"/>
  <c r="J12" i="6"/>
  <c r="J7" i="6"/>
  <c r="J8" i="6"/>
  <c r="J9" i="6"/>
  <c r="J10" i="6"/>
  <c r="J5" i="6"/>
  <c r="J3" i="6"/>
  <c r="J4" i="6"/>
  <c r="J2" i="6"/>
  <c r="J1" i="6"/>
  <c r="F3" i="6"/>
  <c r="F12" i="6" l="1"/>
  <c r="F11" i="6"/>
  <c r="F10" i="6"/>
  <c r="F9" i="6"/>
  <c r="F8" i="6" l="1"/>
  <c r="F7" i="6"/>
  <c r="G3" i="6"/>
  <c r="H3" i="6"/>
  <c r="G2" i="6"/>
  <c r="F2" i="6"/>
  <c r="E12" i="5"/>
  <c r="E11" i="5"/>
  <c r="E10" i="5"/>
  <c r="F9" i="5"/>
  <c r="F8" i="5"/>
  <c r="E7" i="5"/>
  <c r="E6" i="5"/>
  <c r="E5" i="5"/>
  <c r="E4" i="5"/>
  <c r="E3" i="5"/>
  <c r="E2" i="5"/>
  <c r="B5" i="4"/>
  <c r="C4" i="12"/>
  <c r="C5" i="12" s="1"/>
  <c r="D4" i="12"/>
  <c r="D7" i="12" s="1"/>
  <c r="E4" i="12"/>
  <c r="B10" i="12" s="1"/>
  <c r="B4" i="12"/>
  <c r="B7" i="12" s="1"/>
  <c r="E3" i="12"/>
  <c r="E2" i="12"/>
  <c r="E5" i="12" l="1"/>
  <c r="D5" i="12"/>
  <c r="D10" i="12"/>
  <c r="E7" i="12"/>
  <c r="C7" i="12"/>
  <c r="C10" i="12"/>
  <c r="B5" i="12"/>
  <c r="A3" i="11"/>
  <c r="B4" i="11"/>
  <c r="A2" i="11"/>
  <c r="A1" i="11"/>
  <c r="B4" i="4"/>
</calcChain>
</file>

<file path=xl/sharedStrings.xml><?xml version="1.0" encoding="utf-8"?>
<sst xmlns="http://schemas.openxmlformats.org/spreadsheetml/2006/main" count="173" uniqueCount="89">
  <si>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</si>
  <si>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</si>
  <si>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</si>
  <si>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</si>
  <si>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</si>
  <si>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</si>
  <si>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</si>
  <si>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</si>
  <si>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</si>
  <si>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</si>
  <si>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</si>
  <si>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</si>
  <si>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</si>
  <si>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</si>
  <si>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</si>
  <si>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</si>
  <si>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</si>
  <si>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</si>
  <si>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</si>
  <si>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</si>
  <si>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</si>
  <si>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</si>
  <si>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</si>
  <si>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</si>
  <si>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</si>
  <si>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</si>
  <si>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</si>
  <si>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</si>
  <si>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</si>
  <si>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</si>
  <si>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</si>
  <si>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</si>
  <si>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</si>
  <si>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</si>
  <si>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</si>
  <si>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</si>
  <si>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</si>
  <si>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</si>
  <si>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</si>
  <si>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</si>
  <si>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</si>
  <si>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</si>
  <si>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</si>
  <si>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</si>
  <si>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</si>
  <si>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</si>
  <si>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</si>
  <si>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</si>
  <si>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</si>
  <si>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</si>
  <si>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</si>
  <si>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</si>
  <si>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</si>
  <si>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</si>
  <si>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</si>
  <si>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</si>
  <si>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</si>
  <si>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</si>
  <si>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</si>
  <si>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</si>
  <si>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</si>
  <si>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</si>
  <si>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</si>
  <si>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</si>
  <si>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</si>
  <si>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</si>
  <si>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</si>
  <si>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</si>
  <si>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</si>
  <si>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</si>
  <si>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</si>
  <si>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</si>
  <si>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</si>
  <si>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Column1</t>
  </si>
  <si>
    <r>
      <rPr>
        <b/>
        <sz val="11"/>
        <color theme="1"/>
        <rFont val="Calibri"/>
        <family val="2"/>
        <scheme val="minor"/>
      </rPr>
      <t>Tax</t>
    </r>
    <r>
      <rPr>
        <sz val="11"/>
        <color theme="1"/>
        <rFont val="Calibri"/>
        <family val="2"/>
        <scheme val="minor"/>
      </rPr>
      <t xml:space="preserve"> (referencing another sheet.</t>
    </r>
  </si>
  <si>
    <t>Kananelo</t>
  </si>
  <si>
    <t>Patty</t>
  </si>
  <si>
    <t>func</t>
  </si>
  <si>
    <t>LARGE</t>
  </si>
  <si>
    <t>SMALL</t>
  </si>
  <si>
    <t>Asia</t>
  </si>
  <si>
    <t>Total number of cookies sold</t>
  </si>
  <si>
    <t xml:space="preserve">Total number of chocolate chip and oatmeal raisin cookies sold </t>
  </si>
  <si>
    <t>Total number of chocolate chip cookies sold</t>
  </si>
  <si>
    <t>Functions</t>
  </si>
  <si>
    <t>Street number</t>
  </si>
  <si>
    <t>Street name</t>
  </si>
  <si>
    <t>Zip code</t>
  </si>
  <si>
    <t xml:space="preserve">Kevin Cookie Company sold more than Mrs.Fields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</si>
</sst>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left" vertical="center" indent="1"/>
    </xf>
    <xf numFmtId="14" fontId="1" fillId="0" borderId="0" xfId="0" applyNumberFormat="1" applyFont="1"/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1" fillId="3" borderId="0" xfId="0" applyFont="1" applyFill="1"/>
    <xf numFmtId="0" fontId="0" fillId="2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11C67-1EDE-4B34-B331-AF1FDA547A49}" name="CompanyProfits" displayName="CompanyProfits" ref="A1:E5" totalsRowShown="0" headerRowDxfId="1">
  <autoFilter ref="A1:E5" xr:uid="{A637F589-6797-412F-8CBA-13D51A79FEE0}"/>
  <tableColumns count="5">
    <tableColumn id="1" xr3:uid="{C7F51430-4EAD-41A0-B029-F283B10E1F15}" name="Column1" dataDxfId="0"/>
    <tableColumn id="2" xr3:uid="{F9B55A5F-97C4-4DE9-8332-C5A34E3C487E}" name="Chocolate Chip"/>
    <tableColumn id="3" xr3:uid="{9CDBAB83-A5DA-4B15-921B-EA736CC1EB45}" name="Oatmeal Raisin"/>
    <tableColumn id="4" xr3:uid="{F3E43DCF-7001-4AE1-98F5-5DD930F2E2A0}" name="Sugar Cookie"/>
    <tableColumn id="5" xr3:uid="{82620EEF-FB7D-46CC-8953-597FEF20473C}" name="Total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Normal="100" workbookViewId="0">
      <selection activeCell="C12" sqref="C12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3.6328125" customWidth="1"/>
    <col min="6" max="6" width="2.26953125" customWidth="1"/>
  </cols>
  <sheetData>
    <row r="1" spans="1:7" x14ac:dyDescent="0.35">
      <c r="A1" t="s">
        <v>73</v>
      </c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SUM(B1:D2)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3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35">
      <c r="A5" s="2" t="s">
        <v>8</v>
      </c>
      <c r="B5">
        <f>B4*$G$2</f>
        <v>0.60000000000000009</v>
      </c>
      <c r="C5">
        <f>C4*$G$2</f>
        <v>0.5</v>
      </c>
      <c r="D5">
        <f>D4*$G$2</f>
        <v>0.30000000000000004</v>
      </c>
      <c r="E5">
        <f>E4*$G$2</f>
        <v>1.4000000000000001</v>
      </c>
    </row>
    <row r="6" spans="1:7" x14ac:dyDescent="0.35">
      <c r="A6" s="2"/>
      <c r="C6" s="1"/>
    </row>
    <row r="7" spans="1:7" x14ac:dyDescent="0.35">
      <c r="A7" t="s">
        <v>74</v>
      </c>
      <c r="B7">
        <f>B4*'Tax Rate'!$A$2</f>
        <v>0.60000000000000009</v>
      </c>
      <c r="C7">
        <f>C4*'Tax Rate'!$A$2</f>
        <v>0.5</v>
      </c>
      <c r="D7">
        <f>D4*'Tax Rate'!$A$2</f>
        <v>0.30000000000000004</v>
      </c>
      <c r="E7">
        <f>E4*'Tax Rate'!$A$2</f>
        <v>1.4000000000000001</v>
      </c>
    </row>
    <row r="8" spans="1:7" x14ac:dyDescent="0.35">
      <c r="C8" s="1"/>
    </row>
    <row r="9" spans="1:7" x14ac:dyDescent="0.35">
      <c r="B9" s="2" t="s">
        <v>75</v>
      </c>
      <c r="C9" s="8" t="s">
        <v>45</v>
      </c>
      <c r="D9" s="9" t="s">
        <v>76</v>
      </c>
    </row>
    <row r="10" spans="1:7" x14ac:dyDescent="0.35">
      <c r="A10" s="2" t="s">
        <v>9</v>
      </c>
      <c r="B10" s="10">
        <f>$E$4/3</f>
        <v>4.666666666666667</v>
      </c>
      <c r="C10" s="10">
        <f>$E$4/3</f>
        <v>4.666666666666667</v>
      </c>
      <c r="D10" s="10">
        <f>$E$4/3</f>
        <v>4.666666666666667</v>
      </c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Normal="100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10" zoomScaleNormal="110" workbookViewId="0">
      <selection activeCell="B5" sqref="B5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tabSelected="1" zoomScaleNormal="100" workbookViewId="0">
      <selection activeCell="E10" sqref="E10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  <col min="6" max="6" width="8.7265625" hidden="1" customWidth="1"/>
  </cols>
  <sheetData>
    <row r="1" spans="1:6" x14ac:dyDescent="0.35">
      <c r="A1" s="2" t="s">
        <v>13</v>
      </c>
      <c r="B1" s="2" t="s">
        <v>14</v>
      </c>
      <c r="F1" t="s">
        <v>77</v>
      </c>
    </row>
    <row r="2" spans="1:6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6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35">
      <c r="A5" t="s">
        <v>18</v>
      </c>
      <c r="B5">
        <v>52</v>
      </c>
      <c r="D5" t="s">
        <v>19</v>
      </c>
      <c r="E5">
        <f>LARGE(B2:B8,2)</f>
        <v>77</v>
      </c>
      <c r="F5" t="s">
        <v>78</v>
      </c>
    </row>
    <row r="6" spans="1:6" x14ac:dyDescent="0.35">
      <c r="A6" t="s">
        <v>20</v>
      </c>
      <c r="B6">
        <v>52</v>
      </c>
      <c r="D6" t="s">
        <v>21</v>
      </c>
      <c r="E6">
        <f>SMALL(B2:B8,2)</f>
        <v>40</v>
      </c>
      <c r="F6" t="s">
        <v>79</v>
      </c>
    </row>
    <row r="7" spans="1:6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6" x14ac:dyDescent="0.35">
      <c r="A8" t="s">
        <v>24</v>
      </c>
      <c r="B8">
        <v>36</v>
      </c>
      <c r="F8">
        <f>COUNTA(A2:A8)</f>
        <v>7</v>
      </c>
    </row>
    <row r="9" spans="1:6" x14ac:dyDescent="0.35">
      <c r="F9">
        <f>COUNTBLANK(A2:A8)</f>
        <v>0</v>
      </c>
    </row>
    <row r="10" spans="1:6" x14ac:dyDescent="0.35">
      <c r="D10" t="s">
        <v>25</v>
      </c>
      <c r="E10" s="10">
        <f>AVERAGE(B2:B8)</f>
        <v>60.142857142857146</v>
      </c>
    </row>
    <row r="11" spans="1:6" x14ac:dyDescent="0.35">
      <c r="D11" t="s">
        <v>26</v>
      </c>
      <c r="E11">
        <f>MEDIAN(B2:B8)</f>
        <v>52</v>
      </c>
    </row>
    <row r="12" spans="1:6" x14ac:dyDescent="0.35">
      <c r="D12" t="s">
        <v>27</v>
      </c>
      <c r="E12">
        <f>_xlfn.MODE.MULT(B2:B8)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J22"/>
  <sheetViews>
    <sheetView zoomScaleNormal="100" workbookViewId="0">
      <selection activeCell="G2" sqref="G2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  <col min="9" max="9" width="58" bestFit="1" customWidth="1"/>
  </cols>
  <sheetData>
    <row r="1" spans="1:10" x14ac:dyDescent="0.35">
      <c r="A1" s="2" t="s">
        <v>13</v>
      </c>
      <c r="B1" s="2" t="s">
        <v>28</v>
      </c>
      <c r="C1" s="2" t="s">
        <v>14</v>
      </c>
      <c r="I1" s="11" t="s">
        <v>81</v>
      </c>
      <c r="J1">
        <f>SUM(C:C)</f>
        <v>1103</v>
      </c>
    </row>
    <row r="2" spans="1:10" x14ac:dyDescent="0.35">
      <c r="A2" t="s">
        <v>0</v>
      </c>
      <c r="B2" t="s">
        <v>29</v>
      </c>
      <c r="C2">
        <v>28</v>
      </c>
      <c r="E2" t="s">
        <v>30</v>
      </c>
      <c r="F2">
        <f>SUMIF(B:B,B3,C:C)</f>
        <v>362</v>
      </c>
      <c r="G2">
        <f>SUMIF(B:B,"*s",C:C)</f>
        <v>802</v>
      </c>
      <c r="I2" s="12" t="s">
        <v>29</v>
      </c>
      <c r="J2">
        <f>SUMIF(B:B,I2,C:C)</f>
        <v>362</v>
      </c>
    </row>
    <row r="3" spans="1:10" x14ac:dyDescent="0.35">
      <c r="A3" t="s">
        <v>1</v>
      </c>
      <c r="B3" t="s">
        <v>29</v>
      </c>
      <c r="C3">
        <v>32</v>
      </c>
      <c r="E3" t="s">
        <v>31</v>
      </c>
      <c r="F3">
        <f>SUMIFS(C:C,B:B,B2,A:A,A2)</f>
        <v>28</v>
      </c>
      <c r="G3">
        <f>SUMIFS(C:C,B:B,B2,A:A,A2:A3)</f>
        <v>32</v>
      </c>
      <c r="H3">
        <f>SUM(SUMIFS(C:C,B:B,B2,A:A,A2:A3),F3)</f>
        <v>60</v>
      </c>
      <c r="I3" s="12" t="s">
        <v>34</v>
      </c>
      <c r="J3">
        <f t="shared" ref="J3:J4" si="0">SUMIF(B:B,I3,C:C)</f>
        <v>301</v>
      </c>
    </row>
    <row r="4" spans="1:10" x14ac:dyDescent="0.35">
      <c r="A4" t="s">
        <v>2</v>
      </c>
      <c r="B4" t="s">
        <v>29</v>
      </c>
      <c r="C4">
        <v>52</v>
      </c>
      <c r="I4" s="12" t="s">
        <v>39</v>
      </c>
      <c r="J4">
        <f t="shared" si="0"/>
        <v>440</v>
      </c>
    </row>
    <row r="5" spans="1:10" x14ac:dyDescent="0.35">
      <c r="A5" t="s">
        <v>18</v>
      </c>
      <c r="B5" t="s">
        <v>29</v>
      </c>
      <c r="C5">
        <v>67</v>
      </c>
      <c r="I5" s="12" t="s">
        <v>80</v>
      </c>
      <c r="J5">
        <f>SUM((SUMIFS(C:C,B:B,"India"))+SUMIFS(C:C,B:B,"Philippines"))</f>
        <v>741</v>
      </c>
    </row>
    <row r="6" spans="1:10" x14ac:dyDescent="0.35">
      <c r="A6" t="s">
        <v>20</v>
      </c>
      <c r="B6" t="s">
        <v>29</v>
      </c>
      <c r="C6">
        <v>44</v>
      </c>
    </row>
    <row r="7" spans="1:10" x14ac:dyDescent="0.35">
      <c r="A7" t="s">
        <v>22</v>
      </c>
      <c r="B7" t="s">
        <v>29</v>
      </c>
      <c r="C7">
        <v>39</v>
      </c>
      <c r="E7" t="s">
        <v>32</v>
      </c>
      <c r="F7">
        <f>AVERAGEIF(B:B,B9,C:C)</f>
        <v>43</v>
      </c>
      <c r="I7" s="11" t="s">
        <v>82</v>
      </c>
      <c r="J7">
        <f>SUMIF(A:A,"Chocolate Chip",C:C)+SUMIF(A:A,"Oatmeal Raisin",C:C)</f>
        <v>263</v>
      </c>
    </row>
    <row r="8" spans="1:10" x14ac:dyDescent="0.35">
      <c r="A8" t="s">
        <v>24</v>
      </c>
      <c r="B8" t="s">
        <v>29</v>
      </c>
      <c r="C8">
        <v>100</v>
      </c>
      <c r="E8" t="s">
        <v>33</v>
      </c>
      <c r="F8">
        <f>AVERAGEIFS(C:C,B:B,B16,A:A,A4)</f>
        <v>92</v>
      </c>
      <c r="H8" s="12"/>
      <c r="I8" s="12" t="s">
        <v>29</v>
      </c>
      <c r="J8">
        <f>SUMIFS(C:C,A:A,"Chocolate Chip",B:B,I8)+SUMIFS(C:C,B:B,I8,A:A,"Oatmeal Raisin")</f>
        <v>60</v>
      </c>
    </row>
    <row r="9" spans="1:10" x14ac:dyDescent="0.35">
      <c r="A9" t="s">
        <v>0</v>
      </c>
      <c r="B9" t="s">
        <v>34</v>
      </c>
      <c r="C9">
        <v>75</v>
      </c>
      <c r="E9" t="s">
        <v>35</v>
      </c>
      <c r="F9">
        <f>COUNTIF(B:B,B2)</f>
        <v>7</v>
      </c>
      <c r="H9" s="12"/>
      <c r="I9" s="12" t="s">
        <v>34</v>
      </c>
      <c r="J9">
        <f t="shared" ref="J9:J10" si="1">SUMIFS(C:C,A:A,"Chocolate Chip",B:B,I9)+SUMIFS(C:C,B:B,I9,A:A,"Oatmeal Raisin")</f>
        <v>107</v>
      </c>
    </row>
    <row r="10" spans="1:10" x14ac:dyDescent="0.35">
      <c r="A10" t="s">
        <v>1</v>
      </c>
      <c r="B10" t="s">
        <v>34</v>
      </c>
      <c r="C10">
        <v>32</v>
      </c>
      <c r="E10" t="s">
        <v>36</v>
      </c>
      <c r="F10">
        <f>COUNTIFS(B:B,B2,A:A,A2)</f>
        <v>1</v>
      </c>
      <c r="H10" s="12"/>
      <c r="I10" s="12" t="s">
        <v>39</v>
      </c>
      <c r="J10">
        <f t="shared" si="1"/>
        <v>96</v>
      </c>
    </row>
    <row r="11" spans="1:10" x14ac:dyDescent="0.35">
      <c r="A11" t="s">
        <v>2</v>
      </c>
      <c r="B11" t="s">
        <v>34</v>
      </c>
      <c r="C11">
        <v>40</v>
      </c>
      <c r="E11" t="s">
        <v>37</v>
      </c>
      <c r="F11">
        <f>_xlfn.MINIFS(C:C,A:A,A7)</f>
        <v>21</v>
      </c>
    </row>
    <row r="12" spans="1:10" x14ac:dyDescent="0.35">
      <c r="A12" t="s">
        <v>18</v>
      </c>
      <c r="B12" t="s">
        <v>34</v>
      </c>
      <c r="C12">
        <v>21</v>
      </c>
      <c r="E12" t="s">
        <v>38</v>
      </c>
      <c r="F12">
        <f>_xlfn.MAXIFS(C:C,A:A,A2)</f>
        <v>75</v>
      </c>
      <c r="I12" s="11" t="s">
        <v>83</v>
      </c>
      <c r="J12">
        <f>SUMIF(A:A,"Chocolate Chip",C:C)</f>
        <v>158</v>
      </c>
    </row>
    <row r="13" spans="1:10" x14ac:dyDescent="0.35">
      <c r="A13" t="s">
        <v>20</v>
      </c>
      <c r="B13" t="s">
        <v>34</v>
      </c>
      <c r="C13">
        <v>58</v>
      </c>
    </row>
    <row r="14" spans="1:10" x14ac:dyDescent="0.35">
      <c r="A14" t="s">
        <v>22</v>
      </c>
      <c r="B14" t="s">
        <v>34</v>
      </c>
      <c r="C14">
        <v>21</v>
      </c>
    </row>
    <row r="15" spans="1:10" x14ac:dyDescent="0.35">
      <c r="A15" t="s">
        <v>24</v>
      </c>
      <c r="B15" t="s">
        <v>34</v>
      </c>
      <c r="C15">
        <v>54</v>
      </c>
    </row>
    <row r="16" spans="1:10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zoomScale="190" zoomScaleNormal="190" workbookViewId="0">
      <selection activeCell="A32" sqref="A32"/>
    </sheetView>
  </sheetViews>
  <sheetFormatPr defaultRowHeight="14.5" x14ac:dyDescent="0.35"/>
  <cols>
    <col min="1" max="1" width="23.1796875" customWidth="1"/>
    <col min="2" max="2" width="19.90625" bestFit="1" customWidth="1"/>
    <col min="3" max="3" width="10.453125" bestFit="1" customWidth="1"/>
  </cols>
  <sheetData>
    <row r="1" spans="1:3" x14ac:dyDescent="0.35">
      <c r="A1" s="2" t="s">
        <v>40</v>
      </c>
      <c r="B1" s="2" t="s">
        <v>84</v>
      </c>
    </row>
    <row r="2" spans="1:3" x14ac:dyDescent="0.35">
      <c r="A2" t="s">
        <v>41</v>
      </c>
      <c r="B2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  <c r="B6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B11" t="str">
        <f>_xlfn.CONCAT(A10,B10,C10)</f>
        <v>KevinCookieCompany</v>
      </c>
    </row>
    <row r="12" spans="1:3" x14ac:dyDescent="0.35">
      <c r="B12" t="str">
        <f>_xlfn.CONCAT(A10," ",B10, " ",C10)</f>
        <v>Kevin Cookie 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A14&amp;B14&amp;C14</f>
        <v>KevinCookieCompany</v>
      </c>
    </row>
    <row r="16" spans="1:3" x14ac:dyDescent="0.35">
      <c r="A16" t="str">
        <f>A14&amp;" "&amp;B14&amp;" "&amp;C14</f>
        <v>Kevin Cookie Company</v>
      </c>
    </row>
    <row r="17" spans="1:3" x14ac:dyDescent="0.35">
      <c r="A17" s="13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",TRUE,A18,B18,C18)</f>
        <v>Kevin Cookie Company</v>
      </c>
    </row>
    <row r="21" spans="1:3" x14ac:dyDescent="0.35">
      <c r="A21" s="2" t="s">
        <v>50</v>
      </c>
      <c r="B21" s="2" t="s">
        <v>85</v>
      </c>
      <c r="C21" t="str">
        <f>LEFT(A22,3)</f>
        <v>123</v>
      </c>
    </row>
    <row r="22" spans="1:3" x14ac:dyDescent="0.35">
      <c r="A22" t="s">
        <v>51</v>
      </c>
      <c r="B22" s="2" t="s">
        <v>86</v>
      </c>
      <c r="C22" t="str">
        <f>MID(A22,5,11)</f>
        <v>Main Street</v>
      </c>
    </row>
    <row r="23" spans="1:3" x14ac:dyDescent="0.35">
      <c r="B23" s="2" t="s">
        <v>87</v>
      </c>
      <c r="C23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  <c r="B25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A29">
        <f>FIND("@",A28)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Normal="100" workbookViewId="0">
      <selection activeCell="E24" sqref="E24"/>
    </sheetView>
  </sheetViews>
  <sheetFormatPr defaultRowHeight="14.5" x14ac:dyDescent="0.35"/>
  <cols>
    <col min="1" max="1" width="21.7265625" bestFit="1" customWidth="1"/>
    <col min="2" max="2" width="16.453125" customWidth="1"/>
    <col min="3" max="3" width="51.08984375" bestFit="1" customWidth="1"/>
    <col min="4" max="4" width="31.08984375" bestFit="1" customWidth="1"/>
  </cols>
  <sheetData>
    <row r="1" spans="1:4" x14ac:dyDescent="0.35">
      <c r="A1" s="2" t="s">
        <v>57</v>
      </c>
    </row>
    <row r="2" spans="1:4" x14ac:dyDescent="0.35">
      <c r="A2" t="s">
        <v>53</v>
      </c>
      <c r="B2" t="s">
        <v>58</v>
      </c>
      <c r="C2" s="14" t="s">
        <v>88</v>
      </c>
      <c r="D2" t="b">
        <f>A3&gt;B3+B4</f>
        <v>0</v>
      </c>
    </row>
    <row r="3" spans="1:4" x14ac:dyDescent="0.35">
      <c r="A3">
        <v>10</v>
      </c>
      <c r="B3">
        <v>5</v>
      </c>
    </row>
    <row r="4" spans="1:4" x14ac:dyDescent="0.35">
      <c r="B4">
        <v>11</v>
      </c>
    </row>
    <row r="8" spans="1:4" x14ac:dyDescent="0.35">
      <c r="A8" s="2"/>
    </row>
    <row r="9" spans="1:4" x14ac:dyDescent="0.35">
      <c r="A9" s="2" t="s">
        <v>13</v>
      </c>
      <c r="B9" s="2" t="s">
        <v>14</v>
      </c>
      <c r="C9" s="2" t="s">
        <v>59</v>
      </c>
    </row>
    <row r="10" spans="1:4" x14ac:dyDescent="0.35">
      <c r="A10" t="s">
        <v>0</v>
      </c>
      <c r="B10">
        <v>97</v>
      </c>
      <c r="C10" s="14" t="s">
        <v>60</v>
      </c>
      <c r="D10" t="str">
        <f>IF(B10&gt;B11," We sell more chocolate chip cookies","We sell more oatmeal raisin cookies")</f>
        <v>We sell more oatmeal raisin cookies</v>
      </c>
    </row>
    <row r="11" spans="1:4" x14ac:dyDescent="0.35">
      <c r="A11" t="s">
        <v>1</v>
      </c>
      <c r="B11">
        <v>150</v>
      </c>
    </row>
    <row r="12" spans="1:4" x14ac:dyDescent="0.35">
      <c r="A12" t="s">
        <v>2</v>
      </c>
      <c r="B12">
        <v>150</v>
      </c>
    </row>
    <row r="13" spans="1:4" x14ac:dyDescent="0.35">
      <c r="C13" s="2" t="s">
        <v>61</v>
      </c>
    </row>
    <row r="14" spans="1:4" x14ac:dyDescent="0.35">
      <c r="C14" s="14" t="s">
        <v>62</v>
      </c>
      <c r="D14" t="b">
        <f>AND(B10&gt;B11,B10&gt;B12)</f>
        <v>0</v>
      </c>
    </row>
    <row r="17" spans="1:5" x14ac:dyDescent="0.35">
      <c r="C17" s="2" t="s">
        <v>63</v>
      </c>
    </row>
    <row r="18" spans="1:5" x14ac:dyDescent="0.35">
      <c r="C18" s="14" t="s">
        <v>64</v>
      </c>
      <c r="D18" t="b">
        <f>OR(B10&gt;B11,B10&gt;B12)</f>
        <v>0</v>
      </c>
    </row>
    <row r="19" spans="1:5" x14ac:dyDescent="0.35">
      <c r="C19" s="15"/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D22" s="2"/>
      <c r="E22" s="2" t="s">
        <v>2</v>
      </c>
    </row>
    <row r="23" spans="1:5" x14ac:dyDescent="0.35">
      <c r="A23" t="s">
        <v>1</v>
      </c>
      <c r="B23">
        <v>8</v>
      </c>
      <c r="E23">
        <f>IF(E22=A22,B22,IF(E22=A23,B23,IF(E22=A24,B24,"Unknown")))</f>
        <v>5</v>
      </c>
    </row>
    <row r="24" spans="1:5" x14ac:dyDescent="0.3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G6"/>
  <sheetViews>
    <sheetView topLeftCell="D1" zoomScale="90" zoomScaleNormal="90" workbookViewId="0">
      <selection activeCell="G6" sqref="G6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  <col min="6" max="6" width="13.81640625" bestFit="1" customWidth="1"/>
  </cols>
  <sheetData>
    <row r="1" spans="1:7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7" x14ac:dyDescent="0.35">
      <c r="A2" t="s">
        <v>0</v>
      </c>
      <c r="B2">
        <v>10</v>
      </c>
      <c r="C2">
        <v>4</v>
      </c>
      <c r="E2" t="s">
        <v>68</v>
      </c>
      <c r="F2" t="s">
        <v>2</v>
      </c>
      <c r="G2">
        <f>VLOOKUP(F2,A2:C4,2,)</f>
        <v>5</v>
      </c>
    </row>
    <row r="3" spans="1:7" x14ac:dyDescent="0.35">
      <c r="A3" t="s">
        <v>1</v>
      </c>
      <c r="B3">
        <v>8</v>
      </c>
      <c r="C3">
        <v>3</v>
      </c>
    </row>
    <row r="4" spans="1:7" x14ac:dyDescent="0.35">
      <c r="A4" t="s">
        <v>2</v>
      </c>
      <c r="B4">
        <v>5</v>
      </c>
      <c r="C4">
        <v>2</v>
      </c>
    </row>
    <row r="5" spans="1:7" x14ac:dyDescent="0.35">
      <c r="E5" s="2" t="s">
        <v>70</v>
      </c>
    </row>
    <row r="6" spans="1:7" x14ac:dyDescent="0.35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46089</v>
      </c>
    </row>
    <row r="4" spans="1:1" x14ac:dyDescent="0.35">
      <c r="A4" s="2" t="s">
        <v>72</v>
      </c>
    </row>
    <row r="5" spans="1:1" x14ac:dyDescent="0.35">
      <c r="A5" s="7">
        <f ca="1">NOW()</f>
        <v>46089.672573032411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170" zoomScaleNormal="170" workbookViewId="0">
      <selection activeCell="A4" sqref="A4"/>
    </sheetView>
  </sheetViews>
  <sheetFormatPr defaultRowHeight="14.5" x14ac:dyDescent="0.35"/>
  <sheetData>
    <row r="1" spans="1:2" x14ac:dyDescent="0.35">
      <c r="A1">
        <f>5+4</f>
        <v>9</v>
      </c>
      <c r="B1">
        <v>1</v>
      </c>
    </row>
    <row r="2" spans="1:2" x14ac:dyDescent="0.35">
      <c r="A2">
        <f>8-2</f>
        <v>6</v>
      </c>
      <c r="B2">
        <v>3</v>
      </c>
    </row>
    <row r="3" spans="1:2" x14ac:dyDescent="0.35">
      <c r="A3">
        <f>A2+B2</f>
        <v>9</v>
      </c>
      <c r="B3">
        <f>4+2</f>
        <v>6</v>
      </c>
    </row>
    <row r="4" spans="1:2" x14ac:dyDescent="0.3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Stratvert;Kananelo Khabane</dc:creator>
  <cp:keywords/>
  <dc:description/>
  <cp:lastModifiedBy>IT CENTER</cp:lastModifiedBy>
  <cp:revision/>
  <dcterms:created xsi:type="dcterms:W3CDTF">2022-05-10T22:30:35Z</dcterms:created>
  <dcterms:modified xsi:type="dcterms:W3CDTF">2026-03-08T14:10:14Z</dcterms:modified>
  <cp:category/>
  <cp:contentStatus/>
</cp:coreProperties>
</file>